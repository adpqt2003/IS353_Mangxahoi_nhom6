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<sst xmlns="http://schemas.openxmlformats.org/spreadsheetml/2006/main" count="95" uniqueCount="78">
  <si>
    <t>Hội nghị</t>
  </si>
  <si>
    <t>Thời gian</t>
  </si>
  <si>
    <t>Kĩ thuật</t>
  </si>
  <si>
    <t>Link paper</t>
  </si>
  <si>
    <t>Note</t>
  </si>
  <si>
    <t>Status</t>
  </si>
  <si>
    <t>Details</t>
  </si>
  <si>
    <t>TN</t>
  </si>
  <si>
    <t>EPOCH</t>
  </si>
  <si>
    <t>Score train</t>
  </si>
  <si>
    <t>Score predict</t>
  </si>
  <si>
    <t>Recall</t>
  </si>
  <si>
    <t>NDCG</t>
  </si>
  <si>
    <t>Content-based filtering</t>
  </si>
  <si>
    <t>Internet Computing 7:1, pp. 76–80</t>
  </si>
  <si>
    <t>Collaborative Filtering (CF)</t>
  </si>
  <si>
    <t>CBF</t>
  </si>
  <si>
    <t>&gt;= 2 thí nghiệm</t>
  </si>
  <si>
    <t>optimize, kết quả thấp</t>
  </si>
  <si>
    <t>about, name, field (tfidf)</t>
  </si>
  <si>
    <t>CB - feature 1</t>
  </si>
  <si>
    <t>Thống kê dữ liệu sử dụng</t>
  </si>
  <si>
    <t>concept, school (tfidf)</t>
  </si>
  <si>
    <t>CB - feature 2</t>
  </si>
  <si>
    <t>Số lượng sinh viên</t>
  </si>
  <si>
    <t>concept, school (multi-hot)</t>
  </si>
  <si>
    <t>CB - feature 3</t>
  </si>
  <si>
    <t>Số lượng môn học</t>
  </si>
  <si>
    <t>Matrix Factorization (BPRMF)</t>
  </si>
  <si>
    <t>UAI2009</t>
  </si>
  <si>
    <t>Matrix Factorization (MF)</t>
  </si>
  <si>
    <t>BPRMF</t>
  </si>
  <si>
    <t>1 thí nghiệm</t>
  </si>
  <si>
    <t>Done</t>
  </si>
  <si>
    <t>From scratch</t>
  </si>
  <si>
    <t>MF</t>
  </si>
  <si>
    <t>Số lượng entity bổ sung</t>
  </si>
  <si>
    <t>Tổng</t>
  </si>
  <si>
    <t>Factorization Machine</t>
  </si>
  <si>
    <r>
      <rPr>
        <rFont val="Arial"/>
        <b/>
        <color theme="1"/>
      </rPr>
      <t>FM:</t>
    </r>
    <r>
      <rPr>
        <rFont val="Arial"/>
        <color theme="1"/>
      </rPr>
      <t xml:space="preserve"> SIGIR '11</t>
    </r>
  </si>
  <si>
    <t>Factorization Machine (FM)</t>
  </si>
  <si>
    <t>FM</t>
  </si>
  <si>
    <t>2 thí nghiệm</t>
  </si>
  <si>
    <t>Without user info</t>
  </si>
  <si>
    <t>FM - no user info</t>
  </si>
  <si>
    <t>Số TC</t>
  </si>
  <si>
    <t>Điểm</t>
  </si>
  <si>
    <t>Học kỳ</t>
  </si>
  <si>
    <t>Trạng thái</t>
  </si>
  <si>
    <t>Khoa (của SV)</t>
  </si>
  <si>
    <t>With user info</t>
  </si>
  <si>
    <t>FM - user info</t>
  </si>
  <si>
    <t>sinhvien_nam</t>
  </si>
  <si>
    <t>Thông tin sinh viên bổ sung</t>
  </si>
  <si>
    <t>Giới tính</t>
  </si>
  <si>
    <t>Nơi sinh</t>
  </si>
  <si>
    <t>Neural Factorization Machine (NFM)</t>
  </si>
  <si>
    <t>SIGIR 2017</t>
  </si>
  <si>
    <t>NFM</t>
  </si>
  <si>
    <t>NFM - no user info</t>
  </si>
  <si>
    <t>Năm sinh</t>
  </si>
  <si>
    <t>Lớp sinh hoạt</t>
  </si>
  <si>
    <t>Hệ đào tạo</t>
  </si>
  <si>
    <t>Niên khóa</t>
  </si>
  <si>
    <t>NFM - user info</t>
  </si>
  <si>
    <t>Mã môn TA</t>
  </si>
  <si>
    <t>Điểm TA</t>
  </si>
  <si>
    <t>Xếp loại (Tốt nghiệp)</t>
  </si>
  <si>
    <t>KGAT</t>
  </si>
  <si>
    <t>KDD research track</t>
  </si>
  <si>
    <t>Knowledge Graph (KG)</t>
  </si>
  <si>
    <t>KGAT - from scratch</t>
  </si>
  <si>
    <t>Số lượng loại quan hệ</t>
  </si>
  <si>
    <t>len(h, r, t)</t>
  </si>
  <si>
    <t>Pretrained mf</t>
  </si>
  <si>
    <t>KGAT - pretrained MF</t>
  </si>
  <si>
    <t>Biểu diễn tri thức dưới dạng đồ thị</t>
  </si>
  <si>
    <t>https://app.diagrams.net/#G1ApeK_ySKfOljrvbPwS5sBmWQNxtQ2u0p#%7B%22pageId%22%3A%22MQ3YQK_GqPRBcBeUc58x%22%7D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</si>
</sst>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rgb="FF1155CC"/>
      <name val="Arial"/>
    </font>
    <font>
      <color rgb="FF212121"/>
      <name val="Arial"/>
    </font>
    <font>
      <b/>
      <sz val="12.0"/>
      <color theme="1"/>
      <name val="Arial"/>
    </font>
    <font>
      <sz val="12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readingOrder="0" shrinkToFit="0" vertical="bottom" wrapText="1"/>
    </xf>
    <xf borderId="4" fillId="2" fontId="3" numFmtId="0" xfId="0" applyBorder="1" applyFont="1"/>
    <xf borderId="5" fillId="2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6" fillId="3" fontId="3" numFmtId="0" xfId="0" applyBorder="1" applyFill="1" applyFont="1"/>
    <xf borderId="7" fillId="3" fontId="3" numFmtId="0" xfId="0" applyBorder="1" applyFont="1"/>
    <xf borderId="3" fillId="2" fontId="2" numFmtId="0" xfId="0" applyAlignment="1" applyBorder="1" applyFont="1">
      <alignment horizontal="center" shrinkToFit="0" vertical="bottom" wrapText="1"/>
    </xf>
    <xf borderId="4" fillId="3" fontId="3" numFmtId="0" xfId="0" applyBorder="1" applyFont="1"/>
    <xf borderId="5" fillId="3" fontId="3" numFmtId="0" xfId="0" applyBorder="1" applyFont="1"/>
    <xf borderId="8" fillId="2" fontId="2" numFmtId="0" xfId="0" applyAlignment="1" applyBorder="1" applyFont="1">
      <alignment horizontal="center" readingOrder="0" vertical="bottom"/>
    </xf>
    <xf borderId="9" fillId="3" fontId="3" numFmtId="0" xfId="0" applyBorder="1" applyFont="1"/>
    <xf borderId="10" fillId="4" fontId="3" numFmtId="0" xfId="0" applyBorder="1" applyFill="1" applyFont="1"/>
    <xf borderId="9" fillId="4" fontId="3" numFmtId="0" xfId="0" applyBorder="1" applyFont="1"/>
    <xf borderId="11" fillId="2" fontId="2" numFmtId="0" xfId="0" applyAlignment="1" applyBorder="1" applyFont="1">
      <alignment horizontal="center" shrinkToFit="0" vertical="bottom" wrapText="1"/>
    </xf>
    <xf borderId="12" fillId="3" fontId="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6" fillId="3" fontId="2" numFmtId="0" xfId="0" applyAlignment="1" applyBorder="1" applyFont="1">
      <alignment horizontal="center" shrinkToFit="0" wrapText="1"/>
    </xf>
    <xf borderId="6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3" fillId="4" fontId="3" numFmtId="0" xfId="0" applyBorder="1" applyFont="1"/>
    <xf borderId="6" fillId="4" fontId="3" numFmtId="0" xfId="0" applyBorder="1" applyFont="1"/>
    <xf borderId="7" fillId="4" fontId="3" numFmtId="0" xfId="0" applyBorder="1" applyFont="1"/>
    <xf borderId="6" fillId="4" fontId="2" numFmtId="0" xfId="0" applyAlignment="1" applyBorder="1" applyFont="1">
      <alignment horizontal="center" shrinkToFit="0" wrapText="1"/>
    </xf>
    <xf borderId="6" fillId="4" fontId="5" numFmtId="0" xfId="0" applyAlignment="1" applyBorder="1" applyFont="1">
      <alignment horizontal="center"/>
    </xf>
    <xf borderId="6" fillId="4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readingOrder="0" shrinkToFit="0" vertical="bottom" wrapText="1"/>
    </xf>
    <xf borderId="3" fillId="0" fontId="7" numFmtId="0" xfId="0" applyAlignment="1" applyBorder="1" applyFont="1">
      <alignment horizontal="center" readingOrder="0" shrinkToFit="0" wrapText="1"/>
    </xf>
    <xf borderId="14" fillId="3" fontId="3" numFmtId="0" xfId="0" applyBorder="1" applyFont="1"/>
    <xf borderId="10" fillId="3" fontId="3" numFmtId="0" xfId="0" applyBorder="1" applyFont="1"/>
    <xf borderId="10" fillId="3" fontId="2" numFmtId="0" xfId="0" applyAlignment="1" applyBorder="1" applyFont="1">
      <alignment horizontal="center" shrinkToFit="0" wrapText="1"/>
    </xf>
    <xf borderId="10" fillId="3" fontId="5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shrinkToFit="0" wrapText="1"/>
    </xf>
    <xf borderId="11" fillId="4" fontId="1" numFmtId="0" xfId="0" applyAlignment="1" applyBorder="1" applyFont="1">
      <alignment horizontal="center" shrinkToFit="0" wrapText="1"/>
    </xf>
    <xf borderId="11" fillId="4" fontId="8" numFmtId="0" xfId="0" applyAlignment="1" applyBorder="1" applyFont="1">
      <alignment horizontal="center" shrinkToFit="0" wrapText="1"/>
    </xf>
    <xf borderId="11" fillId="4" fontId="2" numFmtId="0" xfId="0" applyAlignment="1" applyBorder="1" applyFont="1">
      <alignment horizontal="center" shrinkToFit="0" wrapText="1"/>
    </xf>
    <xf borderId="10" fillId="4" fontId="2" numFmtId="0" xfId="0" applyAlignment="1" applyBorder="1" applyFont="1">
      <alignment horizontal="center" readingOrder="0" shrinkToFit="0" wrapText="1"/>
    </xf>
    <xf borderId="10" fillId="4" fontId="1" numFmtId="0" xfId="0" applyAlignment="1" applyBorder="1" applyFont="1">
      <alignment horizontal="center" readingOrder="0" shrinkToFit="0" wrapText="1"/>
    </xf>
    <xf borderId="11" fillId="4" fontId="1" numFmtId="0" xfId="0" applyAlignment="1" applyBorder="1" applyFont="1">
      <alignment horizontal="center" readingOrder="0" shrinkToFit="0" vertical="bottom" wrapText="1"/>
    </xf>
    <xf borderId="11" fillId="4" fontId="1" numFmtId="0" xfId="0" applyAlignment="1" applyBorder="1" applyFont="1">
      <alignment horizontal="center" readingOrder="0" shrinkToFit="0" wrapText="1"/>
    </xf>
    <xf borderId="12" fillId="0" fontId="6" numFmtId="0" xfId="0" applyAlignment="1" applyBorder="1" applyFont="1">
      <alignment shrinkToFit="0" vertical="center" wrapText="1"/>
    </xf>
    <xf borderId="2" fillId="0" fontId="3" numFmtId="0" xfId="0" applyBorder="1" applyFont="1"/>
    <xf borderId="1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horizontal="center" shrinkToFit="0" wrapText="1"/>
    </xf>
    <xf borderId="12" fillId="3" fontId="1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readingOrder="0" shrinkToFit="0" wrapText="1"/>
    </xf>
    <xf borderId="13" fillId="0" fontId="3" numFmtId="0" xfId="0" applyBorder="1" applyFont="1"/>
    <xf borderId="7" fillId="0" fontId="3" numFmtId="0" xfId="0" applyBorder="1" applyFont="1"/>
    <xf borderId="11" fillId="0" fontId="7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horizontal="center" readingOrder="0" shrinkToFit="0" wrapText="1"/>
    </xf>
    <xf borderId="13" fillId="3" fontId="3" numFmtId="0" xfId="0" applyBorder="1" applyFont="1"/>
    <xf borderId="0" fillId="0" fontId="1" numFmtId="0" xfId="0" applyAlignment="1" applyFont="1">
      <alignment vertical="bottom"/>
    </xf>
    <xf borderId="1" fillId="4" fontId="2" numFmtId="0" xfId="0" applyAlignment="1" applyBorder="1" applyFont="1">
      <alignment horizontal="center" shrinkToFit="0" wrapText="1"/>
    </xf>
    <xf borderId="6" fillId="4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9" fillId="0" fontId="3" numFmtId="0" xfId="0" applyBorder="1" applyFont="1"/>
    <xf borderId="12" fillId="0" fontId="6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shrinkToFit="0" wrapText="1"/>
    </xf>
    <xf borderId="2" fillId="4" fontId="1" numFmtId="0" xfId="0" applyAlignment="1" applyBorder="1" applyFont="1">
      <alignment horizontal="center" shrinkToFit="0" wrapText="1"/>
    </xf>
    <xf borderId="7" fillId="4" fontId="9" numFmtId="0" xfId="0" applyAlignment="1" applyBorder="1" applyFont="1">
      <alignment horizontal="center" shrinkToFit="0" wrapText="1"/>
    </xf>
    <xf borderId="2" fillId="4" fontId="1" numFmtId="0" xfId="0" applyAlignment="1" applyBorder="1" applyFont="1">
      <alignment horizontal="center" shrinkToFit="0" vertical="bottom" wrapText="1"/>
    </xf>
    <xf borderId="7" fillId="4" fontId="1" numFmtId="0" xfId="0" applyAlignment="1" applyBorder="1" applyFont="1">
      <alignment horizontal="center" readingOrder="0" shrinkToFit="0" wrapText="1"/>
    </xf>
    <xf borderId="2" fillId="4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horizontal="center" readingOrder="0" vertical="bottom"/>
    </xf>
    <xf borderId="2" fillId="4" fontId="1" numFmtId="0" xfId="0" applyAlignment="1" applyBorder="1" applyFont="1">
      <alignment horizontal="center" readingOrder="0" shrinkToFit="0" wrapText="1"/>
    </xf>
    <xf borderId="2" fillId="4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 vertical="bottom"/>
    </xf>
    <xf borderId="2" fillId="3" fontId="10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 shrinkToFit="0" vertical="bottom" wrapText="1"/>
    </xf>
    <xf borderId="2" fillId="3" fontId="1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shrinkToFit="0" vertical="bottom" wrapText="1"/>
    </xf>
    <xf borderId="7" fillId="4" fontId="2" numFmtId="0" xfId="0" applyAlignment="1" applyBorder="1" applyFont="1">
      <alignment horizontal="center" shrinkToFit="0" wrapText="1"/>
    </xf>
    <xf borderId="7" fillId="4" fontId="1" numFmtId="0" xfId="0" applyAlignment="1" applyBorder="1" applyFont="1">
      <alignment horizontal="center" readingOrder="0" shrinkToFit="0" vertical="bottom" wrapText="1"/>
    </xf>
    <xf borderId="12" fillId="3" fontId="1" numFmtId="0" xfId="0" applyBorder="1" applyFont="1"/>
    <xf borderId="2" fillId="3" fontId="1" numFmtId="0" xfId="0" applyBorder="1" applyFont="1"/>
    <xf borderId="0" fillId="3" fontId="1" numFmtId="0" xfId="0" applyFont="1"/>
    <xf borderId="0" fillId="3" fontId="1" numFmtId="0" xfId="0" applyAlignment="1" applyFont="1">
      <alignment vertical="bottom"/>
    </xf>
    <xf borderId="0" fillId="4" fontId="1" numFmtId="0" xfId="0" applyFont="1"/>
    <xf borderId="0" fillId="4" fontId="1" numFmtId="0" xfId="0" applyAlignment="1" applyFont="1">
      <alignment vertical="bottom"/>
    </xf>
    <xf borderId="10" fillId="2" fontId="2" numFmtId="0" xfId="0" applyAlignment="1" applyBorder="1" applyFont="1">
      <alignment horizontal="center" shrinkToFit="0" wrapText="1"/>
    </xf>
    <xf borderId="14" fillId="0" fontId="11" numFmtId="0" xfId="0" applyAlignment="1" applyBorder="1" applyFont="1">
      <alignment shrinkToFit="0" vertical="bottom" wrapText="1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anjunath5496/DL-Recommender-System-Papers/blob/master/%5BCF%5D%20Amazon%20Recommendations%20Item-to-Item%20Collaborative%20Filtering%20(Amazon%202003).pdf" TargetMode="External"/><Relationship Id="rId2" Type="http://schemas.openxmlformats.org/officeDocument/2006/relationships/hyperlink" Target="https://arxiv.org/pdf/1205.2618" TargetMode="External"/><Relationship Id="rId3" Type="http://schemas.openxmlformats.org/officeDocument/2006/relationships/hyperlink" Target="https://www.ismll.uni-hildesheim.de/pub/pdfs/Rendle_et_al2011-Context_Aware.pdf" TargetMode="External"/><Relationship Id="rId4" Type="http://schemas.openxmlformats.org/officeDocument/2006/relationships/hyperlink" Target="https://arxiv.org/pdf/1708.05027" TargetMode="External"/><Relationship Id="rId5" Type="http://schemas.openxmlformats.org/officeDocument/2006/relationships/hyperlink" Target="https://arxiv.org/pdf/1905.07854" TargetMode="External"/><Relationship Id="rId6" Type="http://schemas.openxmlformats.org/officeDocument/2006/relationships/hyperlink" Target="https://app.diagrams.net/#G1ApeK_ySKfOljrvbPwS5sBmWQNxtQ2u0p#%7B%22pageId%22%3A%22MQ3YQK_GqPRBcBeUc58x%22%7D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4" max="24" width="16.75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5" t="s">
        <v>9</v>
      </c>
      <c r="L1" s="6"/>
      <c r="M1" s="6"/>
      <c r="N1" s="6"/>
      <c r="O1" s="7"/>
      <c r="P1" s="8" t="s">
        <v>10</v>
      </c>
      <c r="Q1" s="6"/>
      <c r="R1" s="6"/>
      <c r="S1" s="6"/>
      <c r="T1" s="7"/>
    </row>
    <row r="2">
      <c r="A2" s="9"/>
      <c r="B2" s="9"/>
      <c r="C2" s="9"/>
      <c r="D2" s="9"/>
      <c r="E2" s="10"/>
      <c r="F2" s="9"/>
      <c r="G2" s="9"/>
      <c r="H2" s="9"/>
      <c r="I2" s="9"/>
      <c r="J2" s="9"/>
      <c r="K2" s="11" t="s">
        <v>11</v>
      </c>
      <c r="L2" s="12"/>
      <c r="M2" s="13"/>
      <c r="N2" s="14" t="s">
        <v>12</v>
      </c>
      <c r="O2" s="15"/>
      <c r="P2" s="11" t="s">
        <v>11</v>
      </c>
      <c r="Q2" s="12"/>
      <c r="R2" s="13"/>
      <c r="S2" s="14" t="s">
        <v>12</v>
      </c>
      <c r="T2" s="15"/>
    </row>
    <row r="3">
      <c r="A3" s="16"/>
      <c r="B3" s="16"/>
      <c r="C3" s="16"/>
      <c r="D3" s="16"/>
      <c r="E3" s="17"/>
      <c r="F3" s="16"/>
      <c r="G3" s="16"/>
      <c r="H3" s="16"/>
      <c r="I3" s="16"/>
      <c r="J3" s="16"/>
      <c r="K3" s="18">
        <v>1.0</v>
      </c>
      <c r="L3" s="18">
        <v>5.0</v>
      </c>
      <c r="M3" s="18">
        <v>10.0</v>
      </c>
      <c r="N3" s="18">
        <v>5.0</v>
      </c>
      <c r="O3" s="18">
        <v>10.0</v>
      </c>
      <c r="P3" s="18">
        <v>1.0</v>
      </c>
      <c r="Q3" s="18">
        <v>5.0</v>
      </c>
      <c r="R3" s="18">
        <v>10.0</v>
      </c>
      <c r="S3" s="18">
        <v>5.0</v>
      </c>
      <c r="T3" s="18">
        <v>10.0</v>
      </c>
    </row>
    <row r="4">
      <c r="A4" s="19" t="s">
        <v>13</v>
      </c>
      <c r="B4" s="20" t="s">
        <v>14</v>
      </c>
      <c r="C4" s="21">
        <v>2003.0</v>
      </c>
      <c r="D4" s="20" t="s">
        <v>15</v>
      </c>
      <c r="E4" s="22" t="s">
        <v>16</v>
      </c>
      <c r="F4" s="20" t="s">
        <v>17</v>
      </c>
      <c r="G4" s="20" t="s">
        <v>18</v>
      </c>
      <c r="H4" s="23" t="s">
        <v>19</v>
      </c>
      <c r="I4" s="24" t="s">
        <v>20</v>
      </c>
      <c r="J4" s="25"/>
      <c r="K4" s="26">
        <v>0.0012</v>
      </c>
      <c r="L4" s="26">
        <v>0.0013</v>
      </c>
      <c r="M4" s="26">
        <v>0.0013</v>
      </c>
      <c r="N4" s="26">
        <v>0.0013</v>
      </c>
      <c r="O4" s="26">
        <v>0.0013</v>
      </c>
      <c r="P4" s="27">
        <v>0.0012</v>
      </c>
      <c r="Q4" s="27">
        <v>0.0013</v>
      </c>
      <c r="R4" s="27">
        <v>0.0013</v>
      </c>
      <c r="S4" s="27">
        <v>0.0013</v>
      </c>
      <c r="T4" s="27">
        <v>0.0013</v>
      </c>
      <c r="V4" s="11" t="s">
        <v>21</v>
      </c>
      <c r="W4" s="28"/>
      <c r="X4" s="28"/>
      <c r="Y4" s="29"/>
    </row>
    <row r="5">
      <c r="A5" s="30"/>
      <c r="B5" s="31"/>
      <c r="C5" s="32"/>
      <c r="D5" s="31"/>
      <c r="E5" s="31"/>
      <c r="F5" s="31"/>
      <c r="G5" s="31"/>
      <c r="H5" s="33" t="s">
        <v>22</v>
      </c>
      <c r="I5" s="33" t="s">
        <v>23</v>
      </c>
      <c r="J5" s="34"/>
      <c r="K5" s="35">
        <v>0.0703</v>
      </c>
      <c r="L5" s="35">
        <v>0.0884</v>
      </c>
      <c r="M5" s="35">
        <v>0.104</v>
      </c>
      <c r="N5" s="35">
        <v>0.0798</v>
      </c>
      <c r="O5" s="35">
        <v>0.0846</v>
      </c>
      <c r="P5" s="34">
        <v>0.0703</v>
      </c>
      <c r="Q5" s="34">
        <v>0.0884</v>
      </c>
      <c r="R5" s="34">
        <v>0.104</v>
      </c>
      <c r="S5" s="34">
        <v>0.0798</v>
      </c>
      <c r="T5" s="34">
        <v>0.0846</v>
      </c>
      <c r="V5" s="36" t="s">
        <v>24</v>
      </c>
      <c r="W5" s="29"/>
      <c r="X5" s="37">
        <v>8266.0</v>
      </c>
      <c r="Y5" s="29"/>
    </row>
    <row r="6">
      <c r="A6" s="38"/>
      <c r="B6" s="39"/>
      <c r="C6" s="15"/>
      <c r="D6" s="39"/>
      <c r="E6" s="39"/>
      <c r="F6" s="39"/>
      <c r="G6" s="39"/>
      <c r="H6" s="24" t="s">
        <v>25</v>
      </c>
      <c r="I6" s="40" t="s">
        <v>26</v>
      </c>
      <c r="J6" s="41"/>
      <c r="K6" s="42">
        <v>0.0711</v>
      </c>
      <c r="L6" s="42">
        <v>0.0892</v>
      </c>
      <c r="M6" s="42">
        <v>0.105</v>
      </c>
      <c r="N6" s="42">
        <v>0.0807</v>
      </c>
      <c r="O6" s="42">
        <v>0.0855</v>
      </c>
      <c r="P6" s="41">
        <v>0.0711</v>
      </c>
      <c r="Q6" s="41">
        <v>0.0892</v>
      </c>
      <c r="R6" s="41">
        <v>0.105</v>
      </c>
      <c r="S6" s="41">
        <v>0.0807</v>
      </c>
      <c r="T6" s="41">
        <v>0.0855</v>
      </c>
      <c r="V6" s="36" t="s">
        <v>27</v>
      </c>
      <c r="W6" s="29"/>
      <c r="X6" s="37">
        <v>421.0</v>
      </c>
      <c r="Y6" s="29"/>
    </row>
    <row r="7">
      <c r="A7" s="43" t="s">
        <v>28</v>
      </c>
      <c r="B7" s="44" t="s">
        <v>29</v>
      </c>
      <c r="C7" s="44">
        <v>2009.0</v>
      </c>
      <c r="D7" s="44" t="s">
        <v>30</v>
      </c>
      <c r="E7" s="45" t="s">
        <v>31</v>
      </c>
      <c r="F7" s="44" t="s">
        <v>32</v>
      </c>
      <c r="G7" s="44" t="s">
        <v>33</v>
      </c>
      <c r="H7" s="46" t="s">
        <v>34</v>
      </c>
      <c r="I7" s="47" t="s">
        <v>35</v>
      </c>
      <c r="J7" s="48">
        <v>50.0</v>
      </c>
      <c r="K7" s="49">
        <v>0.2205</v>
      </c>
      <c r="L7" s="49">
        <v>0.4563</v>
      </c>
      <c r="M7" s="49">
        <v>0.5139</v>
      </c>
      <c r="N7" s="49">
        <v>0.3469</v>
      </c>
      <c r="O7" s="49">
        <v>0.3656</v>
      </c>
      <c r="P7" s="50">
        <v>0.2181</v>
      </c>
      <c r="Q7" s="50">
        <v>0.4516</v>
      </c>
      <c r="R7" s="50">
        <v>0.5123</v>
      </c>
      <c r="S7" s="50">
        <v>0.3429</v>
      </c>
      <c r="T7" s="50">
        <v>0.3626</v>
      </c>
      <c r="V7" s="51" t="s">
        <v>36</v>
      </c>
      <c r="W7" s="52"/>
      <c r="X7" s="53" t="s">
        <v>37</v>
      </c>
      <c r="Y7" s="54">
        <f>SUM(Y8:Y13)</f>
        <v>134</v>
      </c>
    </row>
    <row r="8">
      <c r="A8" s="19" t="s">
        <v>38</v>
      </c>
      <c r="B8" s="20" t="s">
        <v>39</v>
      </c>
      <c r="C8" s="20">
        <v>2011.0</v>
      </c>
      <c r="D8" s="20" t="s">
        <v>40</v>
      </c>
      <c r="E8" s="22" t="s">
        <v>41</v>
      </c>
      <c r="F8" s="55" t="s">
        <v>42</v>
      </c>
      <c r="G8" s="20" t="s">
        <v>33</v>
      </c>
      <c r="H8" s="23" t="s">
        <v>43</v>
      </c>
      <c r="I8" s="24" t="s">
        <v>44</v>
      </c>
      <c r="J8" s="56">
        <v>50.0</v>
      </c>
      <c r="K8" s="57">
        <v>0.1223</v>
      </c>
      <c r="L8" s="57">
        <v>0.2679</v>
      </c>
      <c r="M8" s="57">
        <v>0.3473</v>
      </c>
      <c r="N8" s="57">
        <v>0.1972</v>
      </c>
      <c r="O8" s="57">
        <v>0.2228</v>
      </c>
      <c r="P8" s="58">
        <v>0.1213</v>
      </c>
      <c r="Q8" s="58">
        <v>0.2667</v>
      </c>
      <c r="R8" s="58">
        <v>0.3459</v>
      </c>
      <c r="S8" s="58">
        <v>0.195</v>
      </c>
      <c r="T8" s="58">
        <v>0.2205</v>
      </c>
      <c r="V8" s="59"/>
      <c r="W8" s="60"/>
      <c r="X8" s="61" t="s">
        <v>45</v>
      </c>
      <c r="Y8" s="62">
        <v>7.0</v>
      </c>
    </row>
    <row r="9">
      <c r="A9" s="30"/>
      <c r="B9" s="31"/>
      <c r="C9" s="31"/>
      <c r="D9" s="31"/>
      <c r="E9" s="31"/>
      <c r="F9" s="3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V9" s="59"/>
      <c r="W9" s="60"/>
      <c r="X9" s="61" t="s">
        <v>46</v>
      </c>
      <c r="Y9" s="62">
        <v>102.0</v>
      </c>
    </row>
    <row r="10">
      <c r="A10" s="63"/>
      <c r="B10" s="9"/>
      <c r="C10" s="9"/>
      <c r="D10" s="9"/>
      <c r="E10" s="9"/>
      <c r="F10" s="63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V10" s="59"/>
      <c r="W10" s="60"/>
      <c r="X10" s="61" t="s">
        <v>47</v>
      </c>
      <c r="Y10" s="62">
        <v>3.0</v>
      </c>
    </row>
    <row r="11">
      <c r="A11" s="30"/>
      <c r="B11" s="31"/>
      <c r="C11" s="31"/>
      <c r="D11" s="31"/>
      <c r="E11" s="31"/>
      <c r="F11" s="30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64"/>
      <c r="V11" s="59"/>
      <c r="W11" s="60"/>
      <c r="X11" s="61" t="s">
        <v>48</v>
      </c>
      <c r="Y11" s="62">
        <v>6.0</v>
      </c>
    </row>
    <row r="12" ht="18.0" customHeight="1">
      <c r="A12" s="63"/>
      <c r="B12" s="9"/>
      <c r="C12" s="9"/>
      <c r="D12" s="9"/>
      <c r="E12" s="9"/>
      <c r="F12" s="63"/>
      <c r="G12" s="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64"/>
      <c r="V12" s="59"/>
      <c r="W12" s="60"/>
      <c r="X12" s="61" t="s">
        <v>49</v>
      </c>
      <c r="Y12" s="62">
        <v>6.0</v>
      </c>
    </row>
    <row r="13">
      <c r="A13" s="30"/>
      <c r="B13" s="31"/>
      <c r="C13" s="31"/>
      <c r="D13" s="31"/>
      <c r="E13" s="31"/>
      <c r="F13" s="30"/>
      <c r="G13" s="31"/>
      <c r="H13" s="65" t="s">
        <v>50</v>
      </c>
      <c r="I13" s="33" t="s">
        <v>51</v>
      </c>
      <c r="J13" s="66">
        <v>50.0</v>
      </c>
      <c r="K13" s="67">
        <v>0.2945</v>
      </c>
      <c r="L13" s="67">
        <v>0.6246</v>
      </c>
      <c r="M13" s="67">
        <v>0.7549</v>
      </c>
      <c r="N13" s="67">
        <v>0.4664</v>
      </c>
      <c r="O13" s="67">
        <v>0.5088</v>
      </c>
      <c r="P13" s="68">
        <v>0.2909</v>
      </c>
      <c r="Q13" s="68">
        <v>0.6227</v>
      </c>
      <c r="R13" s="68">
        <v>0.7546</v>
      </c>
      <c r="S13" s="68">
        <v>0.463</v>
      </c>
      <c r="T13" s="68">
        <v>0.506</v>
      </c>
      <c r="U13" s="64"/>
      <c r="V13" s="69"/>
      <c r="W13" s="70"/>
      <c r="X13" s="61" t="s">
        <v>52</v>
      </c>
      <c r="Y13" s="62">
        <v>10.0</v>
      </c>
    </row>
    <row r="14">
      <c r="A14" s="63"/>
      <c r="B14" s="9"/>
      <c r="C14" s="9"/>
      <c r="D14" s="9"/>
      <c r="E14" s="9"/>
      <c r="F14" s="63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64"/>
      <c r="V14" s="71" t="s">
        <v>53</v>
      </c>
      <c r="W14" s="52"/>
      <c r="X14" s="53" t="s">
        <v>37</v>
      </c>
      <c r="Y14" s="54">
        <f>SUM(Y15:Y25)</f>
        <v>543</v>
      </c>
    </row>
    <row r="15">
      <c r="A15" s="30"/>
      <c r="B15" s="31"/>
      <c r="C15" s="31"/>
      <c r="D15" s="31"/>
      <c r="E15" s="31"/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V15" s="59"/>
      <c r="W15" s="60"/>
      <c r="X15" s="61" t="s">
        <v>54</v>
      </c>
      <c r="Y15" s="62">
        <v>2.0</v>
      </c>
    </row>
    <row r="16">
      <c r="A16" s="38"/>
      <c r="B16" s="39"/>
      <c r="C16" s="39"/>
      <c r="D16" s="9"/>
      <c r="E16" s="39"/>
      <c r="F16" s="3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V16" s="59"/>
      <c r="W16" s="60"/>
      <c r="X16" s="61" t="s">
        <v>55</v>
      </c>
      <c r="Y16" s="62">
        <v>118.0</v>
      </c>
    </row>
    <row r="17">
      <c r="A17" s="65" t="s">
        <v>56</v>
      </c>
      <c r="B17" s="72" t="s">
        <v>57</v>
      </c>
      <c r="C17" s="73">
        <v>2017.0</v>
      </c>
      <c r="D17" s="73" t="s">
        <v>56</v>
      </c>
      <c r="E17" s="74" t="s">
        <v>58</v>
      </c>
      <c r="F17" s="75" t="s">
        <v>32</v>
      </c>
      <c r="G17" s="75" t="s">
        <v>33</v>
      </c>
      <c r="H17" s="65" t="s">
        <v>43</v>
      </c>
      <c r="I17" s="33" t="s">
        <v>59</v>
      </c>
      <c r="J17" s="76">
        <v>50.0</v>
      </c>
      <c r="K17" s="77">
        <v>0.3712</v>
      </c>
      <c r="L17" s="78">
        <v>0.7435</v>
      </c>
      <c r="M17" s="78">
        <v>0.8582</v>
      </c>
      <c r="N17" s="78">
        <v>0.566</v>
      </c>
      <c r="O17" s="78">
        <v>0.6035</v>
      </c>
      <c r="P17" s="79">
        <v>0.3671</v>
      </c>
      <c r="Q17" s="80">
        <v>0.7413</v>
      </c>
      <c r="R17" s="80">
        <v>0.8619</v>
      </c>
      <c r="S17" s="80">
        <v>0.5627</v>
      </c>
      <c r="T17" s="80">
        <v>0.6021</v>
      </c>
      <c r="V17" s="59"/>
      <c r="W17" s="60"/>
      <c r="X17" s="61" t="s">
        <v>60</v>
      </c>
      <c r="Y17" s="62">
        <v>16.0</v>
      </c>
    </row>
    <row r="18">
      <c r="A18" s="9"/>
      <c r="B18" s="10"/>
      <c r="C18" s="10"/>
      <c r="D18" s="10"/>
      <c r="E18" s="10"/>
      <c r="F18" s="10"/>
      <c r="G18" s="10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V18" s="59"/>
      <c r="W18" s="60"/>
      <c r="X18" s="61" t="s">
        <v>61</v>
      </c>
      <c r="Y18" s="62">
        <v>156.0</v>
      </c>
    </row>
    <row r="19">
      <c r="A19" s="31"/>
      <c r="B19" s="32"/>
      <c r="C19" s="32"/>
      <c r="D19" s="32"/>
      <c r="E19" s="32"/>
      <c r="F19" s="32"/>
      <c r="G19" s="32"/>
      <c r="H19" s="31"/>
      <c r="I19" s="31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V19" s="59"/>
      <c r="W19" s="60"/>
      <c r="X19" s="61" t="s">
        <v>49</v>
      </c>
      <c r="Y19" s="62">
        <v>6.0</v>
      </c>
    </row>
    <row r="20">
      <c r="A20" s="9"/>
      <c r="B20" s="10"/>
      <c r="C20" s="10"/>
      <c r="D20" s="10"/>
      <c r="E20" s="10"/>
      <c r="F20" s="10"/>
      <c r="G20" s="10"/>
      <c r="H20" s="9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V20" s="59"/>
      <c r="W20" s="60"/>
      <c r="X20" s="61" t="s">
        <v>62</v>
      </c>
      <c r="Y20" s="62">
        <v>5.0</v>
      </c>
    </row>
    <row r="21">
      <c r="A21" s="31"/>
      <c r="B21" s="32"/>
      <c r="C21" s="32"/>
      <c r="D21" s="32"/>
      <c r="E21" s="32"/>
      <c r="F21" s="17"/>
      <c r="G21" s="17"/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V21" s="59"/>
      <c r="W21" s="60"/>
      <c r="X21" s="61" t="s">
        <v>63</v>
      </c>
      <c r="Y21" s="62">
        <v>7.0</v>
      </c>
    </row>
    <row r="22">
      <c r="A22" s="9"/>
      <c r="B22" s="10"/>
      <c r="C22" s="10"/>
      <c r="D22" s="10"/>
      <c r="E22" s="10"/>
      <c r="F22" s="81" t="s">
        <v>32</v>
      </c>
      <c r="G22" s="81" t="s">
        <v>33</v>
      </c>
      <c r="H22" s="23" t="s">
        <v>50</v>
      </c>
      <c r="I22" s="24" t="s">
        <v>64</v>
      </c>
      <c r="J22" s="82">
        <v>50.0</v>
      </c>
      <c r="K22" s="83">
        <v>0.4255</v>
      </c>
      <c r="L22" s="83">
        <v>0.7944</v>
      </c>
      <c r="M22" s="83">
        <v>0.9061</v>
      </c>
      <c r="N22" s="83">
        <v>0.6226</v>
      </c>
      <c r="O22" s="83">
        <v>0.659</v>
      </c>
      <c r="P22" s="82">
        <v>0.4272</v>
      </c>
      <c r="Q22" s="82">
        <v>0.7952</v>
      </c>
      <c r="R22" s="82">
        <v>0.9058</v>
      </c>
      <c r="S22" s="82">
        <v>0.6233</v>
      </c>
      <c r="T22" s="82">
        <v>0.6595</v>
      </c>
      <c r="V22" s="59"/>
      <c r="W22" s="60"/>
      <c r="X22" s="61" t="s">
        <v>65</v>
      </c>
      <c r="Y22" s="62">
        <v>205.0</v>
      </c>
    </row>
    <row r="23">
      <c r="A23" s="31"/>
      <c r="B23" s="32"/>
      <c r="C23" s="32"/>
      <c r="D23" s="32"/>
      <c r="E23" s="32"/>
      <c r="F23" s="32"/>
      <c r="G23" s="32"/>
      <c r="H23" s="31"/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V23" s="59"/>
      <c r="W23" s="60"/>
      <c r="X23" s="61" t="s">
        <v>66</v>
      </c>
      <c r="Y23" s="62">
        <v>12.0</v>
      </c>
    </row>
    <row r="24">
      <c r="A24" s="9"/>
      <c r="B24" s="10"/>
      <c r="C24" s="10"/>
      <c r="D24" s="10"/>
      <c r="E24" s="10"/>
      <c r="F24" s="10"/>
      <c r="G24" s="10"/>
      <c r="H24" s="9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V24" s="59"/>
      <c r="W24" s="60"/>
      <c r="X24" s="61" t="s">
        <v>67</v>
      </c>
      <c r="Y24" s="62">
        <v>6.0</v>
      </c>
    </row>
    <row r="25">
      <c r="A25" s="16"/>
      <c r="B25" s="17"/>
      <c r="C25" s="17"/>
      <c r="D25" s="17"/>
      <c r="E25" s="17"/>
      <c r="F25" s="17"/>
      <c r="G25" s="17"/>
      <c r="H25" s="16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64"/>
      <c r="V25" s="69"/>
      <c r="W25" s="70"/>
      <c r="X25" s="61" t="s">
        <v>52</v>
      </c>
      <c r="Y25" s="62">
        <v>10.0</v>
      </c>
    </row>
    <row r="26">
      <c r="A26" s="23" t="s">
        <v>68</v>
      </c>
      <c r="B26" s="21" t="s">
        <v>69</v>
      </c>
      <c r="C26" s="21">
        <v>2019.0</v>
      </c>
      <c r="D26" s="21" t="s">
        <v>70</v>
      </c>
      <c r="E26" s="84" t="s">
        <v>68</v>
      </c>
      <c r="F26" s="21" t="s">
        <v>42</v>
      </c>
      <c r="G26" s="21" t="s">
        <v>33</v>
      </c>
      <c r="H26" s="85" t="s">
        <v>34</v>
      </c>
      <c r="I26" s="24" t="s">
        <v>71</v>
      </c>
      <c r="J26" s="86">
        <v>50.0</v>
      </c>
      <c r="K26" s="87">
        <v>0.1991</v>
      </c>
      <c r="L26" s="87">
        <v>0.3607</v>
      </c>
      <c r="M26" s="87">
        <v>0.4232</v>
      </c>
      <c r="N26" s="87">
        <v>0.2848</v>
      </c>
      <c r="O26" s="87">
        <v>0.3048</v>
      </c>
      <c r="P26" s="88">
        <v>0.1574</v>
      </c>
      <c r="Q26" s="88">
        <v>0.3744</v>
      </c>
      <c r="R26" s="88">
        <v>0.4607</v>
      </c>
      <c r="S26" s="88">
        <v>0.2713</v>
      </c>
      <c r="T26" s="88">
        <v>0.2995</v>
      </c>
      <c r="U26" s="64"/>
      <c r="V26" s="89" t="s">
        <v>72</v>
      </c>
      <c r="W26" s="29"/>
      <c r="X26" s="37">
        <v>7.0</v>
      </c>
      <c r="Y26" s="29"/>
    </row>
    <row r="27">
      <c r="A27" s="31"/>
      <c r="B27" s="32"/>
      <c r="C27" s="32"/>
      <c r="D27" s="32"/>
      <c r="E27" s="32"/>
      <c r="F27" s="32"/>
      <c r="G27" s="32"/>
      <c r="H27" s="32"/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64"/>
      <c r="V27" s="89" t="s">
        <v>73</v>
      </c>
      <c r="W27" s="29"/>
      <c r="X27" s="37">
        <v>2554638.0</v>
      </c>
      <c r="Y27" s="29"/>
    </row>
    <row r="28">
      <c r="A28" s="9"/>
      <c r="B28" s="10"/>
      <c r="C28" s="10"/>
      <c r="D28" s="10"/>
      <c r="E28" s="10"/>
      <c r="F28" s="10"/>
      <c r="G28" s="10"/>
      <c r="H28" s="15"/>
      <c r="I28" s="39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64"/>
      <c r="V28" s="64"/>
      <c r="W28" s="64"/>
      <c r="X28" s="64"/>
    </row>
    <row r="29">
      <c r="A29" s="31"/>
      <c r="B29" s="32"/>
      <c r="C29" s="32"/>
      <c r="D29" s="32"/>
      <c r="E29" s="32"/>
      <c r="F29" s="32"/>
      <c r="G29" s="32"/>
      <c r="H29" s="90" t="s">
        <v>74</v>
      </c>
      <c r="I29" s="33" t="s">
        <v>75</v>
      </c>
      <c r="J29" s="76">
        <v>50.0</v>
      </c>
      <c r="K29" s="91">
        <v>0.4101</v>
      </c>
      <c r="L29" s="91">
        <v>0.7621</v>
      </c>
      <c r="M29" s="91">
        <v>0.8847</v>
      </c>
      <c r="N29" s="91">
        <v>0.5941</v>
      </c>
      <c r="O29" s="91">
        <v>0.6343</v>
      </c>
      <c r="P29" s="76">
        <v>0.3969</v>
      </c>
      <c r="Q29" s="76">
        <v>0.7562</v>
      </c>
      <c r="R29" s="76">
        <v>0.889</v>
      </c>
      <c r="S29" s="76">
        <v>0.5849</v>
      </c>
      <c r="T29" s="76">
        <v>0.6282</v>
      </c>
      <c r="U29" s="64"/>
      <c r="V29" s="64"/>
      <c r="W29" s="64"/>
      <c r="X29" s="64"/>
    </row>
    <row r="30">
      <c r="A30" s="9"/>
      <c r="B30" s="10"/>
      <c r="C30" s="10"/>
      <c r="D30" s="10"/>
      <c r="E30" s="10"/>
      <c r="F30" s="10"/>
      <c r="G30" s="10"/>
      <c r="H30" s="10"/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64"/>
    </row>
    <row r="31">
      <c r="A31" s="16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64"/>
    </row>
    <row r="32">
      <c r="A32" s="92"/>
      <c r="B32" s="93"/>
      <c r="C32" s="93"/>
      <c r="D32" s="94"/>
      <c r="E32" s="95"/>
      <c r="F32" s="95"/>
      <c r="G32" s="95"/>
      <c r="H32" s="94"/>
      <c r="I32" s="94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64"/>
      <c r="V32" s="64"/>
      <c r="W32" s="64"/>
      <c r="X32" s="64"/>
    </row>
    <row r="33">
      <c r="A33" s="96"/>
      <c r="B33" s="96"/>
      <c r="C33" s="96"/>
      <c r="D33" s="96"/>
      <c r="E33" s="97"/>
      <c r="F33" s="97"/>
      <c r="G33" s="97"/>
      <c r="H33" s="96"/>
      <c r="I33" s="96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64"/>
      <c r="V33" s="64"/>
      <c r="W33" s="64"/>
      <c r="X33" s="64"/>
    </row>
    <row r="34">
      <c r="A34" s="94"/>
      <c r="B34" s="94"/>
      <c r="C34" s="94"/>
      <c r="D34" s="94"/>
      <c r="E34" s="95"/>
      <c r="F34" s="95"/>
      <c r="G34" s="95"/>
      <c r="H34" s="94"/>
      <c r="I34" s="94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64"/>
      <c r="V34" s="64"/>
      <c r="W34" s="64"/>
      <c r="X34" s="64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7"/>
      <c r="U35" s="64"/>
      <c r="V35" s="64"/>
      <c r="W35" s="64"/>
      <c r="X35" s="64"/>
    </row>
    <row r="36">
      <c r="A36" s="98" t="s">
        <v>76</v>
      </c>
      <c r="B36" s="99" t="s">
        <v>77</v>
      </c>
      <c r="C36" s="7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64"/>
      <c r="U36" s="64"/>
      <c r="V36" s="64"/>
      <c r="W36" s="64"/>
      <c r="X36" s="64"/>
    </row>
  </sheetData>
  <mergeCells count="136">
    <mergeCell ref="A4:A6"/>
    <mergeCell ref="B4:B6"/>
    <mergeCell ref="C4:C6"/>
    <mergeCell ref="D4:D6"/>
    <mergeCell ref="E4:E6"/>
    <mergeCell ref="F4:F6"/>
    <mergeCell ref="G4:G6"/>
    <mergeCell ref="A8:A16"/>
    <mergeCell ref="B8:B16"/>
    <mergeCell ref="C8:C16"/>
    <mergeCell ref="D8:D16"/>
    <mergeCell ref="E8:E16"/>
    <mergeCell ref="F8:F16"/>
    <mergeCell ref="G8:G16"/>
    <mergeCell ref="O13:O16"/>
    <mergeCell ref="P13:P16"/>
    <mergeCell ref="Q13:Q16"/>
    <mergeCell ref="R13:R16"/>
    <mergeCell ref="S13:S16"/>
    <mergeCell ref="T13:T16"/>
    <mergeCell ref="H13:H16"/>
    <mergeCell ref="I13:I16"/>
    <mergeCell ref="J13:J16"/>
    <mergeCell ref="K13:K16"/>
    <mergeCell ref="L13:L16"/>
    <mergeCell ref="M13:M16"/>
    <mergeCell ref="N13:N16"/>
    <mergeCell ref="O17:O21"/>
    <mergeCell ref="P17:P21"/>
    <mergeCell ref="H17:H21"/>
    <mergeCell ref="I17:I21"/>
    <mergeCell ref="J17:J21"/>
    <mergeCell ref="K17:K21"/>
    <mergeCell ref="L17:L21"/>
    <mergeCell ref="M17:M21"/>
    <mergeCell ref="N17:N21"/>
    <mergeCell ref="M22:M25"/>
    <mergeCell ref="N22:N25"/>
    <mergeCell ref="F22:F25"/>
    <mergeCell ref="G22:G25"/>
    <mergeCell ref="H22:H25"/>
    <mergeCell ref="I22:I25"/>
    <mergeCell ref="J22:J25"/>
    <mergeCell ref="K22:K25"/>
    <mergeCell ref="L22:L25"/>
    <mergeCell ref="O26:O28"/>
    <mergeCell ref="P26:P28"/>
    <mergeCell ref="Q26:Q28"/>
    <mergeCell ref="R26:R28"/>
    <mergeCell ref="S26:S28"/>
    <mergeCell ref="T26:T28"/>
    <mergeCell ref="H26:H28"/>
    <mergeCell ref="I26:I28"/>
    <mergeCell ref="J26:J28"/>
    <mergeCell ref="K26:K28"/>
    <mergeCell ref="L26:L28"/>
    <mergeCell ref="M26:M28"/>
    <mergeCell ref="N26:N28"/>
    <mergeCell ref="A26:A31"/>
    <mergeCell ref="B26:B31"/>
    <mergeCell ref="C26:C31"/>
    <mergeCell ref="D26:D31"/>
    <mergeCell ref="E26:E31"/>
    <mergeCell ref="F26:F31"/>
    <mergeCell ref="G26:G31"/>
    <mergeCell ref="B36:C36"/>
    <mergeCell ref="O29:O31"/>
    <mergeCell ref="P29:P31"/>
    <mergeCell ref="Q29:Q31"/>
    <mergeCell ref="R29:R31"/>
    <mergeCell ref="S29:S31"/>
    <mergeCell ref="T29:T31"/>
    <mergeCell ref="H29:H31"/>
    <mergeCell ref="I29:I31"/>
    <mergeCell ref="J29:J31"/>
    <mergeCell ref="K29:K31"/>
    <mergeCell ref="L29:L31"/>
    <mergeCell ref="M29:M31"/>
    <mergeCell ref="N29:N31"/>
    <mergeCell ref="S2:T2"/>
    <mergeCell ref="V4:Y4"/>
    <mergeCell ref="V5:W5"/>
    <mergeCell ref="X5:Y5"/>
    <mergeCell ref="V6:W6"/>
    <mergeCell ref="X6:Y6"/>
    <mergeCell ref="V7:W13"/>
    <mergeCell ref="V27:W27"/>
    <mergeCell ref="X27:Y27"/>
    <mergeCell ref="S8:S12"/>
    <mergeCell ref="T8:T12"/>
    <mergeCell ref="V14:W25"/>
    <mergeCell ref="S17:S21"/>
    <mergeCell ref="T17:T21"/>
    <mergeCell ref="S22:S25"/>
    <mergeCell ref="T22:T25"/>
    <mergeCell ref="H1:H3"/>
    <mergeCell ref="I1:I3"/>
    <mergeCell ref="J1:J3"/>
    <mergeCell ref="K1:O1"/>
    <mergeCell ref="P1:T1"/>
    <mergeCell ref="K2:M2"/>
    <mergeCell ref="N2:O2"/>
    <mergeCell ref="A1:A3"/>
    <mergeCell ref="B1:B3"/>
    <mergeCell ref="C1:C3"/>
    <mergeCell ref="D1:D3"/>
    <mergeCell ref="E1:E3"/>
    <mergeCell ref="F1:F3"/>
    <mergeCell ref="G1:G3"/>
    <mergeCell ref="H8:H12"/>
    <mergeCell ref="I8:I12"/>
    <mergeCell ref="J8:J12"/>
    <mergeCell ref="K8:K12"/>
    <mergeCell ref="L8:L12"/>
    <mergeCell ref="M8:M12"/>
    <mergeCell ref="N8:N12"/>
    <mergeCell ref="O8:O12"/>
    <mergeCell ref="A17:A25"/>
    <mergeCell ref="B17:B25"/>
    <mergeCell ref="C17:C25"/>
    <mergeCell ref="D17:D25"/>
    <mergeCell ref="E17:E25"/>
    <mergeCell ref="F17:F21"/>
    <mergeCell ref="G17:G21"/>
    <mergeCell ref="P22:P25"/>
    <mergeCell ref="Q22:Q25"/>
    <mergeCell ref="P2:R2"/>
    <mergeCell ref="P8:P12"/>
    <mergeCell ref="Q8:Q12"/>
    <mergeCell ref="R8:R12"/>
    <mergeCell ref="Q17:Q21"/>
    <mergeCell ref="R17:R21"/>
    <mergeCell ref="O22:O25"/>
    <mergeCell ref="R22:R25"/>
    <mergeCell ref="V26:W26"/>
    <mergeCell ref="X26:Y26"/>
  </mergeCells>
  <hyperlinks>
    <hyperlink r:id="rId1" ref="E4"/>
    <hyperlink r:id="rId2" ref="E7"/>
    <hyperlink r:id="rId3" ref="E8"/>
    <hyperlink r:id="rId4" ref="E17"/>
    <hyperlink r:id="rId5" ref="E26"/>
    <hyperlink r:id="rId6" ref="B36"/>
  </hyperlinks>
  <drawing r:id="rId7"/>
</worksheet>
</file>